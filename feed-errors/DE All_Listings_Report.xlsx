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shboard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1E3D59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FFFFF"/>
        <bgColor rgb="00FFFFFF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Prices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'Listings'!D1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'Listings'!$A$2:$A$13</f>
            </numRef>
          </cat>
          <val>
            <numRef>
              <f>'Listings'!$D$2:$D$13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(€)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Amazon Listings Dashboard</t>
        </is>
      </c>
    </row>
    <row r="3">
      <c r="A3" s="2" t="inlineStr">
        <is>
          <t>Total Listings</t>
        </is>
      </c>
      <c r="B3" s="3">
        <f>COUNTA(Listings!A2:A13)</f>
        <v/>
      </c>
    </row>
    <row r="4">
      <c r="A4" s="2" t="inlineStr">
        <is>
          <t>Active Listings</t>
        </is>
      </c>
      <c r="B4" s="3">
        <f>COUNTIF(Listings!F2:F13, "Active")</f>
        <v/>
      </c>
    </row>
    <row r="5">
      <c r="A5" s="2" t="inlineStr">
        <is>
          <t>Total Inventory Quantity</t>
        </is>
      </c>
      <c r="B5" s="3">
        <f>SUM(Listings!E2:E13)</f>
        <v/>
      </c>
    </row>
    <row r="6">
      <c r="A6" s="2" t="inlineStr">
        <is>
          <t>Average Price (€)</t>
        </is>
      </c>
      <c r="B6" s="3">
        <f>AVERAGE(Listings!D2:D13)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5" customWidth="1" min="3" max="3"/>
    <col width="12" customWidth="1" min="4" max="4"/>
    <col width="12" customWidth="1" min="5" max="5"/>
    <col width="13" customWidth="1" min="6" max="6"/>
    <col width="13" customWidth="1" min="7" max="7"/>
    <col width="27" customWidth="1" min="8" max="8"/>
  </cols>
  <sheetData>
    <row r="1" ht="25" customHeight="1">
      <c r="A1" s="4" t="inlineStr">
        <is>
          <t>Item Name</t>
        </is>
      </c>
      <c r="B1" s="4" t="inlineStr">
        <is>
          <t>Listing ID</t>
        </is>
      </c>
      <c r="C1" s="4" t="inlineStr">
        <is>
          <t>Seller SKU</t>
        </is>
      </c>
      <c r="D1" s="4" t="inlineStr">
        <is>
          <t>Price (€)</t>
        </is>
      </c>
      <c r="E1" s="4" t="inlineStr">
        <is>
          <t>Quantity</t>
        </is>
      </c>
      <c r="F1" s="4" t="inlineStr">
        <is>
          <t>Status</t>
        </is>
      </c>
      <c r="G1" s="4" t="inlineStr">
        <is>
          <t>ASIN</t>
        </is>
      </c>
      <c r="H1" s="4" t="inlineStr">
        <is>
          <t>Open Date</t>
        </is>
      </c>
    </row>
    <row r="2">
      <c r="A2" s="5" t="inlineStr">
        <is>
          <t>ZAptieka Kamelmilchseife 100 g für Gesicht und Körper | Stückseife mit Sheabutter und Kokosöl, milde Reinigung für trockene und empfindliche Haut, unparfümiert</t>
        </is>
      </c>
      <c r="B2" s="6" t="inlineStr">
        <is>
          <t>1026HS5AR4I</t>
        </is>
      </c>
      <c r="C2" s="6" t="inlineStr">
        <is>
          <t>2L-CFOT-WAF5</t>
        </is>
      </c>
      <c r="D2" s="7" t="n">
        <v>14.27</v>
      </c>
      <c r="E2" s="8" t="n">
        <v>2</v>
      </c>
      <c r="F2" s="6" t="inlineStr">
        <is>
          <t>Active</t>
        </is>
      </c>
      <c r="G2" s="6" t="inlineStr">
        <is>
          <t>B0GXKF5CMH</t>
        </is>
      </c>
      <c r="H2" s="6" t="inlineStr">
        <is>
          <t>26/10/2026 12:13:36 MET</t>
        </is>
      </c>
    </row>
    <row r="3">
      <c r="A3" s="9" t="inlineStr">
        <is>
          <t>Rosmarin Shampoo mit ätherischen Ölen - feuchtigkeitsspendender und stärkender Haarreiniger für Kopfhautpflege und Volumen | natürliche Öle | für alle Haartypen | 250 ml</t>
        </is>
      </c>
      <c r="B3" s="10" t="inlineStr">
        <is>
          <t>0313HN3W5LG</t>
        </is>
      </c>
      <c r="C3" s="10" t="inlineStr">
        <is>
          <t>2M-RLDD-XQAY</t>
        </is>
      </c>
      <c r="D3" s="11" t="n">
        <v>37.88</v>
      </c>
      <c r="E3" s="12" t="n">
        <v>98</v>
      </c>
      <c r="F3" s="10" t="inlineStr">
        <is>
          <t>Active</t>
        </is>
      </c>
      <c r="G3" s="10" t="inlineStr">
        <is>
          <t>B0GSGP1TMV</t>
        </is>
      </c>
      <c r="H3" s="10" t="inlineStr">
        <is>
          <t>13/03/2026 20:29:04 MET</t>
        </is>
      </c>
    </row>
    <row r="4">
      <c r="A4" s="5" t="inlineStr">
        <is>
          <t>Kamelmilchcreme mit Hyaluronsäure - intensive feuchtigkeitscreme für Gesicht, Körper und Hände | pflegende und trockene Haut | Tag und Nacht | Anti-Aging | 60 ml</t>
        </is>
      </c>
      <c r="B4" s="6" t="inlineStr">
        <is>
          <t>0312HHSSK05</t>
        </is>
      </c>
      <c r="C4" s="6" t="inlineStr">
        <is>
          <t>47-TYVC-KKS9</t>
        </is>
      </c>
      <c r="D4" s="7" t="n">
        <v>63.55</v>
      </c>
      <c r="E4" s="8" t="n">
        <v>95</v>
      </c>
      <c r="F4" s="6" t="inlineStr">
        <is>
          <t>Active</t>
        </is>
      </c>
      <c r="G4" s="6" t="inlineStr">
        <is>
          <t>B0GS98RZ3Y</t>
        </is>
      </c>
      <c r="H4" s="6" t="inlineStr">
        <is>
          <t>12/03/2026 13:19:10 MET</t>
        </is>
      </c>
    </row>
    <row r="5">
      <c r="A5" s="9" t="inlineStr">
        <is>
          <t>Sheabutter und Weihrauch Creme - luxury pflege mit natürlichen ölen | glatte und weiche Haut | Anti-Aging | Tag und Nacht | 60 ml</t>
        </is>
      </c>
      <c r="B5" s="10" t="inlineStr">
        <is>
          <t>0312HH6BXGB</t>
        </is>
      </c>
      <c r="C5" s="10" t="inlineStr">
        <is>
          <t>5M-COWO-NTC4</t>
        </is>
      </c>
      <c r="D5" s="11" t="n">
        <v>61.24</v>
      </c>
      <c r="E5" s="12" t="n">
        <v>99</v>
      </c>
      <c r="F5" s="10" t="inlineStr">
        <is>
          <t>Active</t>
        </is>
      </c>
      <c r="G5" s="10" t="inlineStr">
        <is>
          <t>B0GS9LQ44L</t>
        </is>
      </c>
      <c r="H5" s="10" t="inlineStr">
        <is>
          <t>12/03/2026 10:03:30 MET</t>
        </is>
      </c>
    </row>
    <row r="6">
      <c r="A6" s="5" t="inlineStr">
        <is>
          <t>ZAptieka Milch und Honig Seife 100 g für Gesicht und Körper | Stückseife mit Sheabutter und Kokosöl, milde Reinigung für alle Hauttypen, sanfter Honigduft</t>
        </is>
      </c>
      <c r="B6" s="6" t="inlineStr">
        <is>
          <t>1026HS7HJ26</t>
        </is>
      </c>
      <c r="C6" s="6" t="inlineStr">
        <is>
          <t>79-IMQK-CFL6</t>
        </is>
      </c>
      <c r="D6" s="7" t="n">
        <v>23.79</v>
      </c>
      <c r="E6" s="8" t="n">
        <v>2</v>
      </c>
      <c r="F6" s="6" t="inlineStr">
        <is>
          <t>Active</t>
        </is>
      </c>
      <c r="G6" s="6" t="inlineStr">
        <is>
          <t>B0GWMTMBX4</t>
        </is>
      </c>
      <c r="H6" s="6" t="inlineStr">
        <is>
          <t>26/10/2026 12:13:33 MET</t>
        </is>
      </c>
    </row>
    <row r="7">
      <c r="A7" s="9" t="inlineStr">
        <is>
          <t>ZAptieka Körpercreme 60 ml mit Sheabutter und Geranie | Mit Jojoba- und Olivenöl, für Gesicht und Körper, Tag und Nacht, für trockene und normale Haut</t>
        </is>
      </c>
      <c r="B7" s="10" t="inlineStr">
        <is>
          <t>1026HSC2N7O</t>
        </is>
      </c>
      <c r="C7" s="10" t="inlineStr">
        <is>
          <t>DP-ZW1J-GZYS</t>
        </is>
      </c>
      <c r="D7" s="11" t="n">
        <v>30.93</v>
      </c>
      <c r="E7" s="12" t="n">
        <v>2</v>
      </c>
      <c r="F7" s="10" t="inlineStr">
        <is>
          <t>Active</t>
        </is>
      </c>
      <c r="G7" s="10" t="inlineStr">
        <is>
          <t>B0GTG95Y79</t>
        </is>
      </c>
      <c r="H7" s="10" t="inlineStr">
        <is>
          <t>26/10/2026 12:13:42 MET</t>
        </is>
      </c>
    </row>
    <row r="8">
      <c r="A8" s="5" t="inlineStr">
        <is>
          <t>ZAptieka Schwarzkümmelöl 100 ml, kaltgepresst und unraffiniert | Ägyptische Nigella Sativa, laborgeprüft mit 1,13 Prozent Thymochinon, lösungsmittelfrei, Lebensmittelqualität</t>
        </is>
      </c>
      <c r="B8" s="6" t="inlineStr">
        <is>
          <t>1026HS8MILE</t>
        </is>
      </c>
      <c r="C8" s="6" t="inlineStr">
        <is>
          <t>GO-HRO6-WM8V</t>
        </is>
      </c>
      <c r="D8" s="7" t="n">
        <v>35.69</v>
      </c>
      <c r="E8" s="8" t="n">
        <v>2</v>
      </c>
      <c r="F8" s="6" t="inlineStr">
        <is>
          <t>Active</t>
        </is>
      </c>
      <c r="G8" s="6" t="inlineStr">
        <is>
          <t>B0GXL1CGTQ</t>
        </is>
      </c>
      <c r="H8" s="6" t="inlineStr">
        <is>
          <t>26/10/2026 12:13:38 MET</t>
        </is>
      </c>
    </row>
    <row r="9">
      <c r="A9" s="9" t="inlineStr">
        <is>
          <t>Ziegenmilchcreme mit Hyaluronsäure - sanfte feuchtigkeitspflege für Gesicht | weichmachende Hautpflege mit natürlichen ölen | Tag und Nacht | Anti-Aging | 60 ml</t>
        </is>
      </c>
      <c r="B9" s="10" t="inlineStr">
        <is>
          <t>0312HHP2UQ4</t>
        </is>
      </c>
      <c r="C9" s="10" t="inlineStr">
        <is>
          <t>MQ-GW44-AUVE</t>
        </is>
      </c>
      <c r="D9" s="11" t="n">
        <v>61.24</v>
      </c>
      <c r="E9" s="12" t="n">
        <v>99</v>
      </c>
      <c r="F9" s="10" t="inlineStr">
        <is>
          <t>Active</t>
        </is>
      </c>
      <c r="G9" s="10" t="inlineStr">
        <is>
          <t>B0GSB2MMTF</t>
        </is>
      </c>
      <c r="H9" s="10" t="inlineStr">
        <is>
          <t>12/03/2026 12:52:04 MET</t>
        </is>
      </c>
    </row>
    <row r="10">
      <c r="A10" s="5" t="inlineStr">
        <is>
          <t>ZAptieka Weihrauch Seife 100 g für Gesicht und Körper | Stückseife mit Boswellia, Sheabutter und Kokosöl, milde tägliche Reinigung für alle Hauttypen, ohne Sulfate</t>
        </is>
      </c>
      <c r="B10" s="6" t="inlineStr">
        <is>
          <t>1026HSASDP0</t>
        </is>
      </c>
      <c r="C10" s="6" t="inlineStr">
        <is>
          <t>WJ-9EH3-NUHN</t>
        </is>
      </c>
      <c r="D10" s="7" t="n">
        <v>14.27</v>
      </c>
      <c r="E10" s="8" t="n">
        <v>2</v>
      </c>
      <c r="F10" s="6" t="inlineStr">
        <is>
          <t>Active</t>
        </is>
      </c>
      <c r="G10" s="6" t="inlineStr">
        <is>
          <t>B0GVSWRBWV</t>
        </is>
      </c>
      <c r="H10" s="6" t="inlineStr">
        <is>
          <t>26/10/2026 12:13:36 MET</t>
        </is>
      </c>
    </row>
    <row r="11">
      <c r="A11" s="9" t="inlineStr">
        <is>
          <t>ZAptieka Rosmarin Haarspülung 250 ml mit Argan- und Jojobaöl | Sulfatfrei, ohne Silikone, Parabene und Mineralöl, mit Weizenkeimöl und Panthenol, entwirrt, für alle Haartypen</t>
        </is>
      </c>
      <c r="B11" s="10" t="inlineStr">
        <is>
          <t>1026HRZLUFJ</t>
        </is>
      </c>
      <c r="C11" s="10" t="inlineStr">
        <is>
          <t>YJ-OPSZ-IOCI</t>
        </is>
      </c>
      <c r="D11" s="11" t="n">
        <v>33.31</v>
      </c>
      <c r="E11" s="12" t="n">
        <v>2</v>
      </c>
      <c r="F11" s="10" t="inlineStr">
        <is>
          <t>Active</t>
        </is>
      </c>
      <c r="G11" s="10" t="inlineStr">
        <is>
          <t>B0GSGSYYW2</t>
        </is>
      </c>
      <c r="H11" s="10" t="inlineStr">
        <is>
          <t>26/10/2026 12:13:45 MET</t>
        </is>
      </c>
    </row>
    <row r="12">
      <c r="A12" s="5" t="inlineStr">
        <is>
          <t>Bronzing Body Oil - feuchtigkeitsspendendes bräunungsöl für sonnengeküsstes Leuchten | natürliche öle für glatte, strahlende Haut | Sommerpflege | 60 ml</t>
        </is>
      </c>
      <c r="B12" s="6" t="inlineStr">
        <is>
          <t>0323HJOCTVU</t>
        </is>
      </c>
      <c r="C12" s="6" t="inlineStr">
        <is>
          <t>ZX-GBC1-3353</t>
        </is>
      </c>
      <c r="D12" s="7" t="n">
        <v>33.5</v>
      </c>
      <c r="E12" s="8" t="n">
        <v>99</v>
      </c>
      <c r="F12" s="6" t="inlineStr">
        <is>
          <t>Active</t>
        </is>
      </c>
      <c r="G12" s="6" t="inlineStr">
        <is>
          <t>B0GTLG816P</t>
        </is>
      </c>
      <c r="H12" s="6" t="inlineStr">
        <is>
          <t>23/03/2026 07:43:43 MET</t>
        </is>
      </c>
    </row>
    <row r="13">
      <c r="A13" s="9" t="inlineStr">
        <is>
          <t>ZAptieka Gesichtscreme 60 ml, Feuchtigkeitscreme für Tag und Nacht | Kamelmilch oder Ziegenmilch mit Hyaluronsäure, Sheabutter mit Weihrauch, drei Varianten</t>
        </is>
      </c>
      <c r="B13" s="10" t="inlineStr">
        <is>
          <t>1021H9GVSXM</t>
        </is>
      </c>
      <c r="C13" s="10" t="inlineStr">
        <is>
          <t>DE-Parent-1</t>
        </is>
      </c>
      <c r="D13" s="11" t="n">
        <v/>
      </c>
      <c r="E13" s="12" t="n">
        <v>0</v>
      </c>
      <c r="F13" s="10" t="inlineStr">
        <is>
          <t>Incomplete</t>
        </is>
      </c>
      <c r="G13" s="10" t="inlineStr">
        <is>
          <t>B0HNT4ZZS2</t>
        </is>
      </c>
      <c r="H13" s="10" t="inlineStr">
        <is>
          <t>21/10/2026 14:32:27 MEST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2026-10-27T08:49:39Z</dcterms:created>
  <dcterms:modified xmlns:dcterms="http://purl.org/dc/terms/" xmlns:xsi="http://www.w3.org/2001/XMLSchema-instance" xsi:type="dcterms:W3CDTF">2026-10-27T08:49:39Z</dcterms:modified>
</cp:coreProperties>
</file>